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tos Cotizacion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'Base de Datos Cotizaciones'!$A$1:$M$51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8" customWidth="1" min="5" max="5"/>
    <col width="40" customWidth="1" min="6" max="6"/>
    <col width="18" customWidth="1" min="7" max="7"/>
    <col width="10" customWidth="1" min="8" max="8"/>
    <col width="45" customWidth="1" min="9" max="9"/>
    <col width="25" customWidth="1" min="10" max="10"/>
    <col width="20" customWidth="1" min="11" max="11"/>
    <col width="30" customWidth="1" min="12" max="12"/>
    <col width="35" customWidth="1" min="13" max="13"/>
  </cols>
  <sheetData>
    <row r="1">
      <c r="A1" s="1" t="inlineStr">
        <is>
          <t>Carpeta</t>
        </is>
      </c>
      <c r="B1" s="1" t="inlineStr">
        <is>
          <t>Folio</t>
        </is>
      </c>
      <c r="C1" s="1" t="inlineStr">
        <is>
          <t>Fecha</t>
        </is>
      </c>
      <c r="D1" s="1" t="inlineStr">
        <is>
          <t>Flujo</t>
        </is>
      </c>
      <c r="E1" s="1" t="inlineStr">
        <is>
          <t>Proveedor / Cliente</t>
        </is>
      </c>
      <c r="F1" s="1" t="inlineStr">
        <is>
          <t>Qué Vende / Servicio</t>
        </is>
      </c>
      <c r="G1" s="1" t="inlineStr">
        <is>
          <t>Precio</t>
        </is>
      </c>
      <c r="H1" s="1" t="inlineStr">
        <is>
          <t>Moneda</t>
        </is>
      </c>
      <c r="I1" s="1" t="inlineStr">
        <is>
          <t>Desglose de Precio</t>
        </is>
      </c>
      <c r="J1" s="1" t="inlineStr">
        <is>
          <t>Contacto</t>
        </is>
      </c>
      <c r="K1" s="1" t="inlineStr">
        <is>
          <t>Teléfono</t>
        </is>
      </c>
      <c r="L1" s="1" t="inlineStr">
        <is>
          <t>Email</t>
        </is>
      </c>
      <c r="M1" s="1" t="inlineStr">
        <is>
          <t>Ubicación / Planta</t>
        </is>
      </c>
    </row>
    <row r="2">
      <c r="A2" s="2" t="inlineStr">
        <is>
          <t>cotx+</t>
        </is>
      </c>
      <c r="B2" s="2" t="inlineStr">
        <is>
          <t>COT 001-A</t>
        </is>
      </c>
      <c r="C2" s="2" t="inlineStr">
        <is>
          <t>17/09/2025</t>
        </is>
      </c>
      <c r="D2" s="2" t="inlineStr">
        <is>
          <t>MICSA Vende</t>
        </is>
      </c>
      <c r="E2" s="2" t="inlineStr">
        <is>
          <t>GRUAS RESEMSA</t>
        </is>
      </c>
      <c r="F2" s="2" t="inlineStr">
        <is>
          <t>Instalación de grúa viajera 20 ton en Prolec</t>
        </is>
      </c>
      <c r="G2" s="3" t="n">
        <v>95800</v>
      </c>
      <c r="H2" s="2" t="inlineStr">
        <is>
          <t>MXN + IVA</t>
        </is>
      </c>
      <c r="I2" s="2" t="inlineStr">
        <is>
          <t>Mano de obra especializada y herramienta para instalación de grúa viajera</t>
        </is>
      </c>
      <c r="J2" s="2" t="inlineStr">
        <is>
          <t>Ing. Roberto Sifuentes</t>
        </is>
      </c>
      <c r="K2" s="2" t="inlineStr">
        <is>
          <t>866 175 2737</t>
        </is>
      </c>
      <c r="L2" s="2" t="inlineStr"/>
      <c r="M2" s="2" t="inlineStr">
        <is>
          <t>Prolec, Apodaca, Nuevo León</t>
        </is>
      </c>
    </row>
    <row r="3">
      <c r="A3" s="2" t="inlineStr">
        <is>
          <t>cotx+</t>
        </is>
      </c>
      <c r="B3" s="2" t="inlineStr">
        <is>
          <t>COT 002A</t>
        </is>
      </c>
      <c r="C3" s="2" t="inlineStr">
        <is>
          <t>15/07/2025</t>
        </is>
      </c>
      <c r="D3" s="2" t="inlineStr">
        <is>
          <t>MICSA Vende</t>
        </is>
      </c>
      <c r="E3" s="2" t="inlineStr">
        <is>
          <t>LUCSA</t>
        </is>
      </c>
      <c r="F3" s="2" t="inlineStr">
        <is>
          <t>Descarga e instalación de líneas de ensamble en Tenneco CDMX (3 eventos)</t>
        </is>
      </c>
      <c r="G3" s="3" t="n">
        <v>896851</v>
      </c>
      <c r="H3" s="2" t="inlineStr">
        <is>
          <t>MXN + IVA</t>
        </is>
      </c>
      <c r="I3" s="2" t="inlineStr">
        <is>
          <t>Evento 1: $384,007 | Evento 2: $256,422 | Evento 3: $256,422</t>
        </is>
      </c>
      <c r="J3" s="2" t="inlineStr">
        <is>
          <t>Ing. Fernando García</t>
        </is>
      </c>
      <c r="K3" s="2" t="inlineStr">
        <is>
          <t>821 118 3690</t>
        </is>
      </c>
      <c r="L3" s="2" t="inlineStr">
        <is>
          <t>fgarcia@lucsa.com</t>
        </is>
      </c>
      <c r="M3" s="2" t="inlineStr">
        <is>
          <t>Tenneco Los Reyes, CDMX</t>
        </is>
      </c>
    </row>
    <row r="4">
      <c r="A4" s="2" t="inlineStr">
        <is>
          <t>cotx+</t>
        </is>
      </c>
      <c r="B4" s="2" t="inlineStr">
        <is>
          <t>COT 003</t>
        </is>
      </c>
      <c r="C4" s="2" t="inlineStr">
        <is>
          <t>19/12/2024</t>
        </is>
      </c>
      <c r="D4" s="2" t="inlineStr">
        <is>
          <t>MICSA Vende</t>
        </is>
      </c>
      <c r="E4" s="2" t="inlineStr">
        <is>
          <t>POLINAL</t>
        </is>
      </c>
      <c r="F4" s="2" t="inlineStr">
        <is>
          <t>Reubicación de extrusor Lohia (línea de producción completa SLP a Salinas de Hidalgo)</t>
        </is>
      </c>
      <c r="G4" s="3" t="n">
        <v>579500</v>
      </c>
      <c r="H4" s="2" t="inlineStr">
        <is>
          <t>MXN + IVA</t>
        </is>
      </c>
      <c r="I4" s="2" t="inlineStr">
        <is>
          <t>Desmontaje, transporte e instalación de línea completa de producción</t>
        </is>
      </c>
      <c r="J4" s="2" t="inlineStr">
        <is>
          <t>Ing. Bruno López</t>
        </is>
      </c>
      <c r="K4" s="2" t="inlineStr">
        <is>
          <t>554 326 3113</t>
        </is>
      </c>
      <c r="L4" s="2" t="inlineStr">
        <is>
          <t>Bruno.lopez@polinal.com.mx</t>
        </is>
      </c>
      <c r="M4" s="2" t="inlineStr">
        <is>
          <t>POLINAL, San Luis Potosí, SLP</t>
        </is>
      </c>
    </row>
    <row r="5">
      <c r="A5" s="2" t="inlineStr">
        <is>
          <t>cotx+</t>
        </is>
      </c>
      <c r="B5" s="2" t="inlineStr">
        <is>
          <t>COT 007</t>
        </is>
      </c>
      <c r="C5" s="2" t="inlineStr">
        <is>
          <t>11/07/2025</t>
        </is>
      </c>
      <c r="D5" s="2" t="inlineStr">
        <is>
          <t>MICSA Vende</t>
        </is>
      </c>
      <c r="E5" s="2" t="inlineStr">
        <is>
          <t>DENSO</t>
        </is>
      </c>
      <c r="F5" s="2" t="inlineStr">
        <is>
          <t>Movimiento de maquinaria HP-050 (PEN-81477)</t>
        </is>
      </c>
      <c r="G5" s="3" t="n">
        <v>40910</v>
      </c>
      <c r="H5" s="2" t="inlineStr">
        <is>
          <t>MXN + IVA</t>
        </is>
      </c>
      <c r="I5" s="2" t="inlineStr">
        <is>
          <t>Mano de obra, herramienta y montacargas. Máquina 80x120x260cm, 1500kg</t>
        </is>
      </c>
      <c r="J5" s="2" t="inlineStr">
        <is>
          <t>Ing. Aida Rodríguez</t>
        </is>
      </c>
      <c r="K5" s="2" t="inlineStr">
        <is>
          <t>866 649 0700 ext 233</t>
        </is>
      </c>
      <c r="L5" s="2" t="inlineStr">
        <is>
          <t>aida.rodriguez@na.denso.com</t>
        </is>
      </c>
      <c r="M5" s="2" t="inlineStr">
        <is>
          <t>Denso Air Systems, Frontera, Coahuila</t>
        </is>
      </c>
    </row>
    <row r="6">
      <c r="A6" s="2" t="inlineStr">
        <is>
          <t>cotx+</t>
        </is>
      </c>
      <c r="B6" s="2" t="inlineStr">
        <is>
          <t>COT 020</t>
        </is>
      </c>
      <c r="C6" s="2" t="inlineStr">
        <is>
          <t>18/12/2025</t>
        </is>
      </c>
      <c r="D6" s="2" t="inlineStr">
        <is>
          <t>MICSA Vende</t>
        </is>
      </c>
      <c r="E6" s="2" t="inlineStr">
        <is>
          <t>AMISA (Carrier)</t>
        </is>
      </c>
      <c r="F6" s="2" t="inlineStr">
        <is>
          <t>Relocalización de celdas LCV4 y LCH - Desinstalación y carga a camión</t>
        </is>
      </c>
      <c r="G6" s="3" t="n">
        <v>2364441.35</v>
      </c>
      <c r="H6" s="2" t="inlineStr">
        <is>
          <t>MXN + IVA</t>
        </is>
      </c>
      <c r="I6" s="2" t="inlineStr">
        <is>
          <t>Desinstalación, desconexión servicios, identificación técnica, maniobras internas, carga a camión. 14 personas, 2 cuadrillas, 12hrs/día, 4 semanas</t>
        </is>
      </c>
      <c r="J6" s="2" t="inlineStr">
        <is>
          <t>Ing. Jorge García</t>
        </is>
      </c>
      <c r="K6" s="2" t="inlineStr">
        <is>
          <t>818 204 0421</t>
        </is>
      </c>
      <c r="L6" s="2" t="inlineStr">
        <is>
          <t>jgarcia@amisagroup.com</t>
        </is>
      </c>
      <c r="M6" s="2" t="inlineStr">
        <is>
          <t>Carrier Planta A, Santa Catarina, Nuevo León</t>
        </is>
      </c>
    </row>
    <row r="7">
      <c r="A7" s="2" t="inlineStr">
        <is>
          <t>cotx+</t>
        </is>
      </c>
      <c r="B7" s="2" t="inlineStr">
        <is>
          <t>COT 028</t>
        </is>
      </c>
      <c r="C7" s="2" t="inlineStr">
        <is>
          <t>03/03/2026</t>
        </is>
      </c>
      <c r="D7" s="2" t="inlineStr">
        <is>
          <t>MICSA Vende</t>
        </is>
      </c>
      <c r="E7" s="2" t="inlineStr">
        <is>
          <t>FORZA STEEL</t>
        </is>
      </c>
      <c r="F7" s="2" t="inlineStr">
        <is>
          <t>Alineación y pre-nivelación de 5 máquinas de línea enderezadora</t>
        </is>
      </c>
      <c r="G7" s="3" t="n">
        <v>13805</v>
      </c>
      <c r="H7" s="2" t="inlineStr">
        <is>
          <t>USD + IVA</t>
        </is>
      </c>
      <c r="I7" s="2" t="inlineStr">
        <is>
          <t>1 supervisor, 1 seguridad, 5 mecánicos. Alineación y pre-nivelación de 5 máquinas</t>
        </is>
      </c>
      <c r="J7" s="2" t="inlineStr">
        <is>
          <t>Ing. Ángel Morales</t>
        </is>
      </c>
      <c r="K7" s="2" t="inlineStr"/>
      <c r="L7" s="2" t="inlineStr">
        <is>
          <t>amorales@forzasteel.com</t>
        </is>
      </c>
      <c r="M7" s="2" t="inlineStr">
        <is>
          <t>FORZA STEEL, Salinas Victoria, Nuevo León</t>
        </is>
      </c>
    </row>
    <row r="8">
      <c r="A8" s="2" t="inlineStr">
        <is>
          <t>cotx+</t>
        </is>
      </c>
      <c r="B8" s="2" t="inlineStr">
        <is>
          <t>COT 067</t>
        </is>
      </c>
      <c r="C8" s="2" t="inlineStr">
        <is>
          <t>09/04/2025</t>
        </is>
      </c>
      <c r="D8" s="2" t="inlineStr">
        <is>
          <t>MICSA Vende</t>
        </is>
      </c>
      <c r="E8" s="2" t="inlineStr">
        <is>
          <t>SEIL / EUROFREN</t>
        </is>
      </c>
      <c r="F8" s="2" t="inlineStr">
        <is>
          <t>Desembalaje e instalación de equipos (QS11-25-0214-2)</t>
        </is>
      </c>
      <c r="G8" s="3" t="n">
        <v>62650</v>
      </c>
      <c r="H8" s="2" t="inlineStr">
        <is>
          <t>MXN + IVA</t>
        </is>
      </c>
      <c r="I8" s="2" t="inlineStr">
        <is>
          <t>Desembalaje, posicionamiento de equipos en parque FINSA Guadalupe</t>
        </is>
      </c>
      <c r="J8" s="2" t="inlineStr">
        <is>
          <t>SEIL</t>
        </is>
      </c>
      <c r="K8" s="2" t="inlineStr">
        <is>
          <t>222 398 2193</t>
        </is>
      </c>
      <c r="L8" s="2" t="inlineStr">
        <is>
          <t>proyectos11@seil.com.mx</t>
        </is>
      </c>
      <c r="M8" s="2" t="inlineStr">
        <is>
          <t>EUROFREN, Guadalupe, Nuevo León</t>
        </is>
      </c>
    </row>
    <row r="9">
      <c r="A9" s="2" t="inlineStr">
        <is>
          <t>cotx+</t>
        </is>
      </c>
      <c r="B9" s="2" t="inlineStr">
        <is>
          <t>COT 072</t>
        </is>
      </c>
      <c r="C9" s="2" t="inlineStr">
        <is>
          <t>02/06/2025</t>
        </is>
      </c>
      <c r="D9" s="2" t="inlineStr">
        <is>
          <t>MICSA Vende</t>
        </is>
      </c>
      <c r="E9" s="2" t="inlineStr">
        <is>
          <t>SEIL (Clarios)</t>
        </is>
      </c>
      <c r="F9" s="2" t="inlineStr">
        <is>
          <t>Modificaciones en línea de ensamble FY25TOR-22 reubicada</t>
        </is>
      </c>
      <c r="G9" s="3" t="n">
        <v>164640</v>
      </c>
      <c r="H9" s="2" t="inlineStr">
        <is>
          <t>MXN + IVA</t>
        </is>
      </c>
      <c r="I9" s="2" t="inlineStr">
        <is>
          <t>Montaje campana/extractor, soportería, tuberías, reubicación troqueladora, elevadores</t>
        </is>
      </c>
      <c r="J9" s="2" t="inlineStr">
        <is>
          <t>Ing. Rafael Flores</t>
        </is>
      </c>
      <c r="K9" s="2" t="inlineStr">
        <is>
          <t>222 398 2193</t>
        </is>
      </c>
      <c r="L9" s="2" t="inlineStr">
        <is>
          <t>proyectos11@seil.com.mx</t>
        </is>
      </c>
      <c r="M9" s="2" t="inlineStr">
        <is>
          <t>Clarios, Torreón, Coahuila</t>
        </is>
      </c>
    </row>
    <row r="10">
      <c r="A10" s="2" t="inlineStr">
        <is>
          <t>cotx+</t>
        </is>
      </c>
      <c r="B10" s="2" t="inlineStr">
        <is>
          <t>COT 077</t>
        </is>
      </c>
      <c r="C10" s="2" t="inlineStr">
        <is>
          <t>24/06/2025</t>
        </is>
      </c>
      <c r="D10" s="2" t="inlineStr">
        <is>
          <t>MICSA Vende</t>
        </is>
      </c>
      <c r="E10" s="2" t="inlineStr">
        <is>
          <t>SEIL (Clarios)</t>
        </is>
      </c>
      <c r="F10" s="2" t="inlineStr">
        <is>
          <t>Identificación y desconexión de equipos (QS11-25-0505-1)</t>
        </is>
      </c>
      <c r="G10" s="3" t="n">
        <v>20000</v>
      </c>
      <c r="H10" s="2" t="inlineStr">
        <is>
          <t>MXN + IVA</t>
        </is>
      </c>
      <c r="I10" s="2" t="inlineStr">
        <is>
          <t>Identificación y desconexión de equipo en planta Clarios</t>
        </is>
      </c>
      <c r="J10" s="2" t="inlineStr">
        <is>
          <t>Ing. Rafael Flores</t>
        </is>
      </c>
      <c r="K10" s="2" t="inlineStr">
        <is>
          <t>222 398 2193</t>
        </is>
      </c>
      <c r="L10" s="2" t="inlineStr">
        <is>
          <t>proyectos11@seil.com.mx</t>
        </is>
      </c>
      <c r="M10" s="2" t="inlineStr">
        <is>
          <t>Clarios, Torreón, Coahuila</t>
        </is>
      </c>
    </row>
    <row r="11">
      <c r="A11" s="2" t="inlineStr">
        <is>
          <t>cotx+</t>
        </is>
      </c>
      <c r="B11" s="2" t="inlineStr">
        <is>
          <t>COT 080</t>
        </is>
      </c>
      <c r="C11" s="2" t="inlineStr">
        <is>
          <t>17/10/2025</t>
        </is>
      </c>
      <c r="D11" s="2" t="inlineStr">
        <is>
          <t>MICSA Vende</t>
        </is>
      </c>
      <c r="E11" s="2" t="inlineStr">
        <is>
          <t>SEIL (Clarios)</t>
        </is>
      </c>
      <c r="F11" s="2" t="inlineStr">
        <is>
          <t>Reubicación de línea de ensamble #2 (QS11-25-0624-1)</t>
        </is>
      </c>
      <c r="G11" s="3" t="n">
        <v>971733</v>
      </c>
      <c r="H11" s="2" t="inlineStr">
        <is>
          <t>MXN + IVA</t>
        </is>
      </c>
      <c r="I11" s="2" t="inlineStr">
        <is>
          <t>Reubicación línea #2, 60 mts dentro de planta</t>
        </is>
      </c>
      <c r="J11" s="2" t="inlineStr">
        <is>
          <t>SEIL</t>
        </is>
      </c>
      <c r="K11" s="2" t="inlineStr"/>
      <c r="L11" s="2" t="inlineStr">
        <is>
          <t>costos@seil.com</t>
        </is>
      </c>
      <c r="M11" s="2" t="inlineStr">
        <is>
          <t>Clarios, Torreón, Coahuila</t>
        </is>
      </c>
    </row>
    <row r="12">
      <c r="A12" s="2" t="inlineStr">
        <is>
          <t>cotx+</t>
        </is>
      </c>
      <c r="B12" s="2" t="inlineStr">
        <is>
          <t>COT 084-A</t>
        </is>
      </c>
      <c r="C12" s="2" t="inlineStr">
        <is>
          <t>17/09/2025</t>
        </is>
      </c>
      <c r="D12" s="2" t="inlineStr">
        <is>
          <t>MICSA Vende</t>
        </is>
      </c>
      <c r="E12" s="2" t="inlineStr">
        <is>
          <t>SEIL (Clarios)</t>
        </is>
      </c>
      <c r="F12" s="2" t="inlineStr">
        <is>
          <t>Integración de equipos en línea de formación</t>
        </is>
      </c>
      <c r="G12" s="3" t="n">
        <v>55800</v>
      </c>
      <c r="H12" s="2" t="inlineStr">
        <is>
          <t>MXN + IVA</t>
        </is>
      </c>
      <c r="I12" s="2" t="inlineStr">
        <is>
          <t>Integración de equipos en línea de formación Clarios</t>
        </is>
      </c>
      <c r="J12" s="2" t="inlineStr">
        <is>
          <t>SEIL</t>
        </is>
      </c>
      <c r="K12" s="2" t="inlineStr"/>
      <c r="L12" s="2" t="inlineStr">
        <is>
          <t>costos@seil.com</t>
        </is>
      </c>
      <c r="M12" s="2" t="inlineStr">
        <is>
          <t>Clarios, Torreón, Coahuila</t>
        </is>
      </c>
    </row>
    <row r="13">
      <c r="A13" s="2" t="inlineStr">
        <is>
          <t>cotx+</t>
        </is>
      </c>
      <c r="B13" s="2" t="inlineStr">
        <is>
          <t>COT 085</t>
        </is>
      </c>
      <c r="C13" s="2" t="inlineStr">
        <is>
          <t>19/09/2025</t>
        </is>
      </c>
      <c r="D13" s="2" t="inlineStr">
        <is>
          <t>MICSA Vende</t>
        </is>
      </c>
      <c r="E13" s="2" t="inlineStr">
        <is>
          <t>SEIL (Clarios)</t>
        </is>
      </c>
      <c r="F13" s="2" t="inlineStr">
        <is>
          <t>Soporte en línea reubicada #2 - Semana 1</t>
        </is>
      </c>
      <c r="G13" s="3" t="n">
        <v>79200</v>
      </c>
      <c r="H13" s="2" t="inlineStr">
        <is>
          <t>MXN + IVA</t>
        </is>
      </c>
      <c r="I13" s="2" t="inlineStr">
        <is>
          <t>Soporte y detalles en línea 2 nueva</t>
        </is>
      </c>
      <c r="J13" s="2" t="inlineStr">
        <is>
          <t>SEIL</t>
        </is>
      </c>
      <c r="K13" s="2" t="inlineStr"/>
      <c r="L13" s="2" t="inlineStr"/>
      <c r="M13" s="2" t="inlineStr">
        <is>
          <t>Clarios, Torreón, Coahuila</t>
        </is>
      </c>
    </row>
    <row r="14">
      <c r="A14" s="2" t="inlineStr">
        <is>
          <t>cotx+</t>
        </is>
      </c>
      <c r="B14" s="2" t="inlineStr">
        <is>
          <t>COT 086</t>
        </is>
      </c>
      <c r="C14" s="2" t="inlineStr">
        <is>
          <t>19/09/2025</t>
        </is>
      </c>
      <c r="D14" s="2" t="inlineStr">
        <is>
          <t>MICSA Vende</t>
        </is>
      </c>
      <c r="E14" s="2" t="inlineStr">
        <is>
          <t>SEIL (Clarios)</t>
        </is>
      </c>
      <c r="F14" s="2" t="inlineStr">
        <is>
          <t>Soporte en línea reubicada #2 - Semana 2</t>
        </is>
      </c>
      <c r="G14" s="3" t="n">
        <v>79200</v>
      </c>
      <c r="H14" s="2" t="inlineStr">
        <is>
          <t>MXN + IVA</t>
        </is>
      </c>
      <c r="I14" s="2" t="inlineStr">
        <is>
          <t>Soporte y detalles en línea 2 nueva</t>
        </is>
      </c>
      <c r="J14" s="2" t="inlineStr">
        <is>
          <t>SEIL</t>
        </is>
      </c>
      <c r="K14" s="2" t="inlineStr"/>
      <c r="L14" s="2" t="inlineStr"/>
      <c r="M14" s="2" t="inlineStr">
        <is>
          <t>Clarios, Torreón, Coahuila</t>
        </is>
      </c>
    </row>
    <row r="15">
      <c r="A15" s="2" t="inlineStr">
        <is>
          <t>cotx+</t>
        </is>
      </c>
      <c r="B15" s="2" t="inlineStr">
        <is>
          <t>COT 088-A</t>
        </is>
      </c>
      <c r="C15" s="2" t="inlineStr">
        <is>
          <t>14/11/2025</t>
        </is>
      </c>
      <c r="D15" s="2" t="inlineStr">
        <is>
          <t>MICSA Vende</t>
        </is>
      </c>
      <c r="E15" s="2" t="inlineStr">
        <is>
          <t>SEIL (Clarios)</t>
        </is>
      </c>
      <c r="F15" s="2" t="inlineStr">
        <is>
          <t>Soporte en línea reubicada #2 (29 Sep al 5 Oct)</t>
        </is>
      </c>
      <c r="G15" s="3" t="n">
        <v>79960</v>
      </c>
      <c r="H15" s="2" t="inlineStr">
        <is>
          <t>MXN + IVA</t>
        </is>
      </c>
      <c r="I15" s="2" t="inlineStr">
        <is>
          <t>Soporte y detalles en línea 2 nueva</t>
        </is>
      </c>
      <c r="J15" s="2" t="inlineStr">
        <is>
          <t>SEIL</t>
        </is>
      </c>
      <c r="K15" s="2" t="inlineStr"/>
      <c r="L15" s="2" t="inlineStr"/>
      <c r="M15" s="2" t="inlineStr">
        <is>
          <t>Clarios, Torreón, Coahuila</t>
        </is>
      </c>
    </row>
    <row r="16">
      <c r="A16" s="2" t="inlineStr">
        <is>
          <t>cotx+</t>
        </is>
      </c>
      <c r="B16" s="2" t="inlineStr">
        <is>
          <t>COT 092</t>
        </is>
      </c>
      <c r="C16" s="2" t="inlineStr">
        <is>
          <t>21/10/2025</t>
        </is>
      </c>
      <c r="D16" s="2" t="inlineStr">
        <is>
          <t>MICSA Vende</t>
        </is>
      </c>
      <c r="E16" s="2" t="inlineStr">
        <is>
          <t>SEIL (Clarios)</t>
        </is>
      </c>
      <c r="F16" s="2" t="inlineStr">
        <is>
          <t>Retiro de tubería y cableado en línea 2 antigua (1 día)</t>
        </is>
      </c>
      <c r="G16" s="3" t="n">
        <v>33492</v>
      </c>
      <c r="H16" s="2" t="inlineStr">
        <is>
          <t>MXN + IVA</t>
        </is>
      </c>
      <c r="I16" s="2" t="inlineStr">
        <is>
          <t>Retiro de tubería y cableado en línea 2 antigua</t>
        </is>
      </c>
      <c r="J16" s="2" t="inlineStr">
        <is>
          <t>SEIL</t>
        </is>
      </c>
      <c r="K16" s="2" t="inlineStr"/>
      <c r="L16" s="2" t="inlineStr"/>
      <c r="M16" s="2" t="inlineStr">
        <is>
          <t>Clarios, Torreón, Coahuila</t>
        </is>
      </c>
    </row>
    <row r="17">
      <c r="A17" s="2" t="inlineStr">
        <is>
          <t>cotx+</t>
        </is>
      </c>
      <c r="B17" s="2" t="inlineStr">
        <is>
          <t>COT 093</t>
        </is>
      </c>
      <c r="C17" s="2" t="inlineStr">
        <is>
          <t>21/10/2025</t>
        </is>
      </c>
      <c r="D17" s="2" t="inlineStr">
        <is>
          <t>MICSA Vende</t>
        </is>
      </c>
      <c r="E17" s="2" t="inlineStr">
        <is>
          <t>SEIL (Clarios)</t>
        </is>
      </c>
      <c r="F17" s="2" t="inlineStr">
        <is>
          <t>Soporte en línea 2 nueva (20 al 25)</t>
        </is>
      </c>
      <c r="G17" s="3" t="n">
        <v>52300</v>
      </c>
      <c r="H17" s="2" t="inlineStr">
        <is>
          <t>MXN + IVA</t>
        </is>
      </c>
      <c r="I17" s="2" t="inlineStr">
        <is>
          <t>Soporte y detalles en línea 2 nueva exclusivamente</t>
        </is>
      </c>
      <c r="J17" s="2" t="inlineStr">
        <is>
          <t>SEIL</t>
        </is>
      </c>
      <c r="K17" s="2" t="inlineStr"/>
      <c r="L17" s="2" t="inlineStr"/>
      <c r="M17" s="2" t="inlineStr">
        <is>
          <t>Clarios, Torreón, Coahuila</t>
        </is>
      </c>
    </row>
    <row r="18">
      <c r="A18" s="4" t="inlineStr">
        <is>
          <t>cotx+</t>
        </is>
      </c>
      <c r="B18" s="4" t="inlineStr">
        <is>
          <t>BMR Folio 36</t>
        </is>
      </c>
      <c r="C18" s="4" t="inlineStr">
        <is>
          <t>08/11/2025</t>
        </is>
      </c>
      <c r="D18" s="4" t="inlineStr">
        <is>
          <t>MICSA Compra</t>
        </is>
      </c>
      <c r="E18" s="4" t="inlineStr">
        <is>
          <t>BMR Montacargas</t>
        </is>
      </c>
      <c r="F18" s="4" t="inlineStr">
        <is>
          <t>Renta montacargas Hangcha CPCD50 5 Ton diesel (mensual)</t>
        </is>
      </c>
      <c r="G18" s="5" t="n">
        <v>2469</v>
      </c>
      <c r="H18" s="4" t="inlineStr">
        <is>
          <t>USD/mes + IVA</t>
        </is>
      </c>
      <c r="I18" s="4" t="inlineStr">
        <is>
          <t>Renta mensual: $2,469 USD | Hora extra: $48 USD | Mástil triplex 4.8m | Cuchillas 48" | Desplazador lateral</t>
        </is>
      </c>
      <c r="J18" s="4" t="inlineStr">
        <is>
          <t>Orlando Muñiz</t>
        </is>
      </c>
      <c r="K18" s="4" t="inlineStr">
        <is>
          <t>866 143 3322</t>
        </is>
      </c>
      <c r="L18" s="4" t="inlineStr">
        <is>
          <t>ventas@bmr.com.mx</t>
        </is>
      </c>
      <c r="M18" s="4" t="inlineStr">
        <is>
          <t>Héroe de Nacozari 108, Frontera, Coahuila CP 25650</t>
        </is>
      </c>
    </row>
    <row r="19">
      <c r="A19" s="4" t="inlineStr">
        <is>
          <t>cotx+</t>
        </is>
      </c>
      <c r="B19" s="4" t="inlineStr">
        <is>
          <t>BMR Folio 37</t>
        </is>
      </c>
      <c r="C19" s="4" t="inlineStr">
        <is>
          <t>08/11/2025</t>
        </is>
      </c>
      <c r="D19" s="4" t="inlineStr">
        <is>
          <t>MICSA Compra</t>
        </is>
      </c>
      <c r="E19" s="4" t="inlineStr">
        <is>
          <t>BMR Montacargas</t>
        </is>
      </c>
      <c r="F19" s="4" t="inlineStr">
        <is>
          <t>Renta montacargas Hangcha CPCD38 3.8 Ton diesel (diario)</t>
        </is>
      </c>
      <c r="G19" s="5" t="n">
        <v>214</v>
      </c>
      <c r="H19" s="4" t="inlineStr">
        <is>
          <t>USD/día + IVA</t>
        </is>
      </c>
      <c r="I19" s="4" t="inlineStr">
        <is>
          <t>Renta diaria: $214 USD | Hora extra: $48 USD | 9 hrs/día | Mástil triplex 4.8m</t>
        </is>
      </c>
      <c r="J19" s="4" t="inlineStr">
        <is>
          <t>Orlando Muñiz</t>
        </is>
      </c>
      <c r="K19" s="4" t="inlineStr">
        <is>
          <t>866 143 3322</t>
        </is>
      </c>
      <c r="L19" s="4" t="inlineStr">
        <is>
          <t>ventas@bmr.com.mx</t>
        </is>
      </c>
      <c r="M19" s="4" t="inlineStr">
        <is>
          <t>Héroe de Nacozari 108, Frontera, Coahuila CP 25650</t>
        </is>
      </c>
    </row>
    <row r="20">
      <c r="A20" s="4" t="inlineStr">
        <is>
          <t>cotx+</t>
        </is>
      </c>
      <c r="B20" s="4" t="inlineStr">
        <is>
          <t>BMR Folio 38</t>
        </is>
      </c>
      <c r="C20" s="4" t="inlineStr">
        <is>
          <t>08/11/2025</t>
        </is>
      </c>
      <c r="D20" s="4" t="inlineStr">
        <is>
          <t>MICSA Compra</t>
        </is>
      </c>
      <c r="E20" s="4" t="inlineStr">
        <is>
          <t>BMR Montacargas</t>
        </is>
      </c>
      <c r="F20" s="4" t="inlineStr">
        <is>
          <t>Renta montacargas Hangcha CPCYD38 3.8 Ton diesel (semanal)</t>
        </is>
      </c>
      <c r="G20" s="5" t="n">
        <v>648</v>
      </c>
      <c r="H20" s="4" t="inlineStr">
        <is>
          <t>USD/sem + IVA</t>
        </is>
      </c>
      <c r="I20" s="4" t="inlineStr">
        <is>
          <t>Renta semanal: $648 USD | Hora extra: $48 USD | 75 hrs/semana</t>
        </is>
      </c>
      <c r="J20" s="4" t="inlineStr">
        <is>
          <t>Orlando Muñiz</t>
        </is>
      </c>
      <c r="K20" s="4" t="inlineStr">
        <is>
          <t>866 143 3322</t>
        </is>
      </c>
      <c r="L20" s="4" t="inlineStr">
        <is>
          <t>ventas@bmr.com.mx</t>
        </is>
      </c>
      <c r="M20" s="4" t="inlineStr">
        <is>
          <t>Héroe de Nacozari 108, Frontera, Coahuila CP 25650</t>
        </is>
      </c>
    </row>
    <row r="21">
      <c r="A21" s="4" t="inlineStr">
        <is>
          <t>cotx+</t>
        </is>
      </c>
      <c r="B21" s="4" t="inlineStr">
        <is>
          <t>BMR Folio 39</t>
        </is>
      </c>
      <c r="C21" s="4" t="inlineStr">
        <is>
          <t>08/11/2025</t>
        </is>
      </c>
      <c r="D21" s="4" t="inlineStr">
        <is>
          <t>MICSA Compra</t>
        </is>
      </c>
      <c r="E21" s="4" t="inlineStr">
        <is>
          <t>BMR Montacargas</t>
        </is>
      </c>
      <c r="F21" s="4" t="inlineStr">
        <is>
          <t>Renta montacargas Hangcha CPCYD38 3.8 Ton diesel (mensual)</t>
        </is>
      </c>
      <c r="G21" s="5" t="n">
        <v>1962</v>
      </c>
      <c r="H21" s="4" t="inlineStr">
        <is>
          <t>USD/mes + IVA</t>
        </is>
      </c>
      <c r="I21" s="4" t="inlineStr">
        <is>
          <t>Renta mensual: $1,962 USD | 300 hrs/mes | Mantenimiento incluido</t>
        </is>
      </c>
      <c r="J21" s="4" t="inlineStr">
        <is>
          <t>Orlando Muñiz</t>
        </is>
      </c>
      <c r="K21" s="4" t="inlineStr">
        <is>
          <t>866 143 3322</t>
        </is>
      </c>
      <c r="L21" s="4" t="inlineStr">
        <is>
          <t>ventas@bmr.com.mx</t>
        </is>
      </c>
      <c r="M21" s="4" t="inlineStr">
        <is>
          <t>Héroe de Nacozari 108, Frontera, Coahuila CP 25650</t>
        </is>
      </c>
    </row>
    <row r="22">
      <c r="A22" s="4" t="inlineStr">
        <is>
          <t>cotx+</t>
        </is>
      </c>
      <c r="B22" s="4" t="inlineStr">
        <is>
          <t>Rigging-001</t>
        </is>
      </c>
      <c r="C22" s="4" t="inlineStr"/>
      <c r="D22" s="4" t="inlineStr">
        <is>
          <t>MICSA Compra</t>
        </is>
      </c>
      <c r="E22" s="4" t="inlineStr">
        <is>
          <t>Rigging Industry</t>
        </is>
      </c>
      <c r="F22" s="4" t="inlineStr">
        <is>
          <t>Renta de equipos varios (montacargas y brazos articulados)</t>
        </is>
      </c>
      <c r="G22" s="4" t="n">
        <v>0</v>
      </c>
      <c r="H22" s="4" t="inlineStr">
        <is>
          <t>MXN + IVA</t>
        </is>
      </c>
      <c r="I22" s="4" t="inlineStr">
        <is>
          <t>Montacargas 40/60: $29,000/día | Montacargas 60/80: $38,000/día | Montacargas 15,000 lbs: $55,000/mes | Brazo articulado 45: $38,000/mes | Traslados: $7,000-$30,000</t>
        </is>
      </c>
      <c r="J22" s="4" t="inlineStr">
        <is>
          <t>Ing. Ángel Aurelio Juárez Velázquez</t>
        </is>
      </c>
      <c r="K22" s="4" t="inlineStr">
        <is>
          <t>813 113 0556</t>
        </is>
      </c>
      <c r="L22" s="4" t="inlineStr">
        <is>
          <t>Rigging.industry1@gmail.com</t>
        </is>
      </c>
      <c r="M22" s="4" t="inlineStr">
        <is>
          <t>Río Conchos 111, Col. Pueblo Nuevo, Apodaca, NL CP 66646</t>
        </is>
      </c>
    </row>
    <row r="23">
      <c r="A23" s="4" t="inlineStr">
        <is>
          <t>cotx+</t>
        </is>
      </c>
      <c r="B23" s="4" t="inlineStr">
        <is>
          <t>C-PART015 (7T DIA)</t>
        </is>
      </c>
      <c r="C23" s="4" t="inlineStr">
        <is>
          <t>04/04/2024</t>
        </is>
      </c>
      <c r="D23" s="4" t="inlineStr">
        <is>
          <t>MICSA Compra</t>
        </is>
      </c>
      <c r="E23" s="4" t="inlineStr">
        <is>
          <t>SEYSO Norte (Servicio y Soporte Industrial del Norte)</t>
        </is>
      </c>
      <c r="F23" s="4" t="inlineStr">
        <is>
          <t>Renta montacargas Hyster 7 Ton (por día)</t>
        </is>
      </c>
      <c r="G23" s="5" t="n">
        <v>4500</v>
      </c>
      <c r="H23" s="4" t="inlineStr">
        <is>
          <t>MXN</t>
        </is>
      </c>
      <c r="I23" s="4" t="inlineStr">
        <is>
          <t>Renta diaria: $4,500 | Traslado: $2,100</t>
        </is>
      </c>
      <c r="J23" s="4" t="inlineStr">
        <is>
          <t>Francis</t>
        </is>
      </c>
      <c r="K23" s="4" t="inlineStr">
        <is>
          <t>871 575 9763 / 871 328 8544</t>
        </is>
      </c>
      <c r="L23" s="4" t="inlineStr"/>
      <c r="M23" s="4" t="inlineStr">
        <is>
          <t>Blvd. Carlos A. Herrera Araluce #225, Gómez Palacio, Durango CP 35079</t>
        </is>
      </c>
    </row>
    <row r="24">
      <c r="A24" s="4" t="inlineStr">
        <is>
          <t>cotx+</t>
        </is>
      </c>
      <c r="B24" s="4" t="inlineStr">
        <is>
          <t>C-PART015 (7T SEM)</t>
        </is>
      </c>
      <c r="C24" s="4" t="inlineStr">
        <is>
          <t>04/04/2024</t>
        </is>
      </c>
      <c r="D24" s="4" t="inlineStr">
        <is>
          <t>MICSA Compra</t>
        </is>
      </c>
      <c r="E24" s="4" t="inlineStr">
        <is>
          <t>SEYSO Norte</t>
        </is>
      </c>
      <c r="F24" s="4" t="inlineStr">
        <is>
          <t>Renta montacargas Hyster 7 Ton (por semana)</t>
        </is>
      </c>
      <c r="G24" s="5" t="n">
        <v>28000</v>
      </c>
      <c r="H24" s="4" t="inlineStr">
        <is>
          <t>MXN</t>
        </is>
      </c>
      <c r="I24" s="4" t="inlineStr">
        <is>
          <t>Renta semanal: $28,000 | Traslado: $2,100</t>
        </is>
      </c>
      <c r="J24" s="4" t="inlineStr">
        <is>
          <t>Francis</t>
        </is>
      </c>
      <c r="K24" s="4" t="inlineStr">
        <is>
          <t>871 575 9763 / 871 328 8544</t>
        </is>
      </c>
      <c r="L24" s="4" t="inlineStr"/>
      <c r="M24" s="4" t="inlineStr">
        <is>
          <t>Blvd. Carlos A. Herrera Araluce #225, Gómez Palacio, Durango CP 35079</t>
        </is>
      </c>
    </row>
    <row r="25">
      <c r="A25" s="4" t="inlineStr">
        <is>
          <t>cotx+</t>
        </is>
      </c>
      <c r="B25" s="4" t="inlineStr">
        <is>
          <t>C-PART015 (9T DIA)</t>
        </is>
      </c>
      <c r="C25" s="4" t="inlineStr">
        <is>
          <t>04/04/2024</t>
        </is>
      </c>
      <c r="D25" s="4" t="inlineStr">
        <is>
          <t>MICSA Compra</t>
        </is>
      </c>
      <c r="E25" s="4" t="inlineStr">
        <is>
          <t>SEYSO Norte</t>
        </is>
      </c>
      <c r="F25" s="4" t="inlineStr">
        <is>
          <t>Renta montacargas Doosan 9 Ton (por día)</t>
        </is>
      </c>
      <c r="G25" s="5" t="n">
        <v>7000</v>
      </c>
      <c r="H25" s="4" t="inlineStr">
        <is>
          <t>MXN</t>
        </is>
      </c>
      <c r="I25" s="4" t="inlineStr">
        <is>
          <t>Renta diaria: $7,000 | Traslado: $8,000</t>
        </is>
      </c>
      <c r="J25" s="4" t="inlineStr">
        <is>
          <t>Francis</t>
        </is>
      </c>
      <c r="K25" s="4" t="inlineStr">
        <is>
          <t>871 575 9763 / 871 328 8544</t>
        </is>
      </c>
      <c r="L25" s="4" t="inlineStr"/>
      <c r="M25" s="4" t="inlineStr">
        <is>
          <t>Blvd. Carlos A. Herrera Araluce #225, Gómez Palacio, Durango CP 35079</t>
        </is>
      </c>
    </row>
    <row r="26">
      <c r="A26" s="4" t="inlineStr">
        <is>
          <t>cotx+</t>
        </is>
      </c>
      <c r="B26" s="4" t="inlineStr">
        <is>
          <t>C-PART015 (9T SEM)</t>
        </is>
      </c>
      <c r="C26" s="4" t="inlineStr">
        <is>
          <t>04/04/2024</t>
        </is>
      </c>
      <c r="D26" s="4" t="inlineStr">
        <is>
          <t>MICSA Compra</t>
        </is>
      </c>
      <c r="E26" s="4" t="inlineStr">
        <is>
          <t>SEYSO Norte</t>
        </is>
      </c>
      <c r="F26" s="4" t="inlineStr">
        <is>
          <t>Renta montacargas Doosan 9 Ton (por semana)</t>
        </is>
      </c>
      <c r="G26" s="5" t="n">
        <v>45500</v>
      </c>
      <c r="H26" s="4" t="inlineStr">
        <is>
          <t>MXN</t>
        </is>
      </c>
      <c r="I26" s="4" t="inlineStr">
        <is>
          <t>Renta semanal: $45,500 | Traslado: $8,000</t>
        </is>
      </c>
      <c r="J26" s="4" t="inlineStr">
        <is>
          <t>Francis</t>
        </is>
      </c>
      <c r="K26" s="4" t="inlineStr">
        <is>
          <t>871 575 9763 / 871 328 8544</t>
        </is>
      </c>
      <c r="L26" s="4" t="inlineStr"/>
      <c r="M26" s="4" t="inlineStr">
        <is>
          <t>Blvd. Carlos A. Herrera Araluce #225, Gómez Palacio, Durango CP 35079</t>
        </is>
      </c>
    </row>
    <row r="27">
      <c r="A27" s="4" t="inlineStr">
        <is>
          <t>cotx+</t>
        </is>
      </c>
      <c r="B27" s="4" t="inlineStr">
        <is>
          <t>COT J 2025</t>
        </is>
      </c>
      <c r="C27" s="4" t="inlineStr">
        <is>
          <t>01/09/2025</t>
        </is>
      </c>
      <c r="D27" s="4" t="inlineStr">
        <is>
          <t>MICSA Compra</t>
        </is>
      </c>
      <c r="E27" s="4" t="inlineStr">
        <is>
          <t>Proveedor CDMX (Coltongo)</t>
        </is>
      </c>
      <c r="F27" s="4" t="inlineStr">
        <is>
          <t>Renta montacargas 7 Ton gas LP (mensual)</t>
        </is>
      </c>
      <c r="G27" s="5" t="n">
        <v>65000</v>
      </c>
      <c r="H27" s="4" t="inlineStr">
        <is>
          <t>MXN</t>
        </is>
      </c>
      <c r="I27" s="4" t="inlineStr">
        <is>
          <t>Renta mensual: $65,000 | Traslado con grúa: $10,000</t>
        </is>
      </c>
      <c r="J27" s="4" t="inlineStr"/>
      <c r="K27" s="4" t="inlineStr"/>
      <c r="L27" s="4" t="inlineStr"/>
      <c r="M27" s="4" t="inlineStr">
        <is>
          <t>Coltongo 293, Industrial Vallejo, Azcapotzalco, CDMX CP 02300</t>
        </is>
      </c>
    </row>
    <row r="28">
      <c r="A28" s="4" t="inlineStr">
        <is>
          <t>cotx+</t>
        </is>
      </c>
      <c r="B28" s="4" t="inlineStr">
        <is>
          <t>COT 2024</t>
        </is>
      </c>
      <c r="C28" s="4" t="inlineStr">
        <is>
          <t>02/04/2024</t>
        </is>
      </c>
      <c r="D28" s="4" t="inlineStr">
        <is>
          <t>MICSA Compra</t>
        </is>
      </c>
      <c r="E28" s="4" t="inlineStr">
        <is>
          <t>Proveedor CDMX (Coltongo)</t>
        </is>
      </c>
      <c r="F28" s="4" t="inlineStr">
        <is>
          <t>Renta montacargas 8,000 lbs por 12 días</t>
        </is>
      </c>
      <c r="G28" s="5" t="n">
        <v>17000</v>
      </c>
      <c r="H28" s="4" t="inlineStr">
        <is>
          <t>MXN</t>
        </is>
      </c>
      <c r="I28" s="4" t="inlineStr">
        <is>
          <t>Renta 12 días: $17,000 (incluye traslado)</t>
        </is>
      </c>
      <c r="J28" s="4" t="inlineStr">
        <is>
          <t>Jordan González</t>
        </is>
      </c>
      <c r="K28" s="4" t="inlineStr"/>
      <c r="L28" s="4" t="inlineStr">
        <is>
          <t>micdelcentro@gmail.com</t>
        </is>
      </c>
      <c r="M28" s="4" t="inlineStr">
        <is>
          <t>Coltongo 293, Industrial Vallejo, Azcapotzalco, CDMX CP 02300</t>
        </is>
      </c>
    </row>
    <row r="29">
      <c r="A29" s="4" t="inlineStr">
        <is>
          <t>cotx+</t>
        </is>
      </c>
      <c r="B29" s="4" t="inlineStr">
        <is>
          <t>BW-2026</t>
        </is>
      </c>
      <c r="C29" s="4" t="inlineStr">
        <is>
          <t>26/01/2026</t>
        </is>
      </c>
      <c r="D29" s="4" t="inlineStr">
        <is>
          <t>MICSA Compra</t>
        </is>
      </c>
      <c r="E29" s="4" t="inlineStr">
        <is>
          <t>BW Rentals</t>
        </is>
      </c>
      <c r="F29" s="4" t="inlineStr">
        <is>
          <t>Renta montacargas 12,000 lbs torre triple (mensual)</t>
        </is>
      </c>
      <c r="G29" s="5" t="n">
        <v>40000</v>
      </c>
      <c r="H29" s="4" t="inlineStr">
        <is>
          <t>MXN/mes + IVA</t>
        </is>
      </c>
      <c r="I29" s="4" t="inlineStr">
        <is>
          <t>Renta mensual: $40,000 | Traslados (ida/regreso ZMM): $7,000 | Incluye mantenimientos para rentas 6+ meses</t>
        </is>
      </c>
      <c r="J29" s="4" t="inlineStr">
        <is>
          <t>Ing. Armando Rivas</t>
        </is>
      </c>
      <c r="K29" s="4" t="inlineStr"/>
      <c r="L29" s="4" t="inlineStr"/>
      <c r="M29" s="4" t="inlineStr">
        <is>
          <t>Zona Metropolitana de Monterrey</t>
        </is>
      </c>
    </row>
    <row r="30">
      <c r="A30" s="4" t="inlineStr">
        <is>
          <t>cotx+</t>
        </is>
      </c>
      <c r="B30" s="4" t="inlineStr">
        <is>
          <t>AGM_COT2024-00129</t>
        </is>
      </c>
      <c r="C30" s="4" t="inlineStr">
        <is>
          <t>23/07/2024</t>
        </is>
      </c>
      <c r="D30" s="4" t="inlineStr">
        <is>
          <t>MICSA Compra</t>
        </is>
      </c>
      <c r="E30" s="4" t="inlineStr">
        <is>
          <t>ALHESO Grúas y Montacargas (AGM)</t>
        </is>
      </c>
      <c r="F30" s="4" t="inlineStr">
        <is>
          <t>Renta montacargas 15,000 lbs y 10,000 lbs (semanal)</t>
        </is>
      </c>
      <c r="G30" s="5" t="n">
        <v>25000</v>
      </c>
      <c r="H30" s="4" t="inlineStr">
        <is>
          <t>MXN/sem</t>
        </is>
      </c>
      <c r="I30" s="4" t="inlineStr">
        <is>
          <t>Montacargas 15,000 lbs: $25,000/semana | Montacargas 10,000 lbs: cotizar | Parque Industrial Bernardo Quintana</t>
        </is>
      </c>
      <c r="J30" s="4" t="inlineStr">
        <is>
          <t>Lic. Alejandra</t>
        </is>
      </c>
      <c r="K30" s="4" t="inlineStr">
        <is>
          <t>442 393 0482</t>
        </is>
      </c>
      <c r="L30" s="4" t="inlineStr"/>
      <c r="M30" s="4" t="inlineStr">
        <is>
          <t>Av. Santa Fe 108 C, Juriquilla, Querétaro CP 76230</t>
        </is>
      </c>
    </row>
    <row r="31">
      <c r="A31" s="4" t="inlineStr">
        <is>
          <t>cotx+</t>
        </is>
      </c>
      <c r="B31" s="4" t="inlineStr">
        <is>
          <t>COT 754</t>
        </is>
      </c>
      <c r="C31" s="4" t="inlineStr">
        <is>
          <t>12/12/2025</t>
        </is>
      </c>
      <c r="D31" s="4" t="inlineStr">
        <is>
          <t>MICSA Compra</t>
        </is>
      </c>
      <c r="E31" s="4" t="inlineStr">
        <is>
          <t>Proveedor Equipos (COT 754)</t>
        </is>
      </c>
      <c r="F31" s="4" t="inlineStr">
        <is>
          <t>Renta plataforma articulada 45 pies y montacargas 10,000 lbs</t>
        </is>
      </c>
      <c r="G31" s="5" t="n">
        <v>234000</v>
      </c>
      <c r="H31" s="4" t="inlineStr">
        <is>
          <t>MXN + IVA</t>
        </is>
      </c>
      <c r="I31" s="4" t="inlineStr">
        <is>
          <t>4 plataformas articuladas 45 pies × $36,000 = $144,000 | 2 montacargas 10,000 lbs GLP × $45,000 = $90,000</t>
        </is>
      </c>
      <c r="J31" s="4" t="inlineStr">
        <is>
          <t>Erika Gazca Mendoza (asesora)</t>
        </is>
      </c>
      <c r="K31" s="4" t="inlineStr"/>
      <c r="L31" s="4" t="inlineStr"/>
      <c r="M31" s="4" t="inlineStr"/>
    </row>
    <row r="32">
      <c r="A32" s="4" t="inlineStr">
        <is>
          <t>cotx+</t>
        </is>
      </c>
      <c r="B32" s="4" t="inlineStr">
        <is>
          <t>QTO020424-1</t>
        </is>
      </c>
      <c r="C32" s="4" t="inlineStr">
        <is>
          <t>02/04/2024</t>
        </is>
      </c>
      <c r="D32" s="4" t="inlineStr">
        <is>
          <t>MICSA Compra</t>
        </is>
      </c>
      <c r="E32" s="4" t="inlineStr">
        <is>
          <t>ForkFlock Lift Truck Services</t>
        </is>
      </c>
      <c r="F32" s="4" t="inlineStr">
        <is>
          <t>Renta montacargas Hyster 155XL 7 Ton (diaria)</t>
        </is>
      </c>
      <c r="G32" s="5" t="n">
        <v>4000</v>
      </c>
      <c r="H32" s="4" t="inlineStr">
        <is>
          <t>MXN/día</t>
        </is>
      </c>
      <c r="I32" s="4" t="inlineStr">
        <is>
          <t>Renta diaria: $4,000 | Traslado redondo: $8,000 | 6 días = $24,000 + $8,000 = $32,000 + IVA = $37,120</t>
        </is>
      </c>
      <c r="J32" s="4" t="inlineStr">
        <is>
          <t>Alfonso Herrera Castillo</t>
        </is>
      </c>
      <c r="K32" s="4" t="inlineStr">
        <is>
          <t>(55) 5331 0025 / 442 798 2185</t>
        </is>
      </c>
      <c r="L32" s="4" t="inlineStr">
        <is>
          <t>aherrera@forkflock.com</t>
        </is>
      </c>
      <c r="M32" s="4" t="inlineStr">
        <is>
          <t>Clemencia Borja Taboada 550, Juriquilla, Querétaro</t>
        </is>
      </c>
    </row>
    <row r="33">
      <c r="A33" s="4" t="inlineStr">
        <is>
          <t>cotx+</t>
        </is>
      </c>
      <c r="B33" s="4" t="inlineStr">
        <is>
          <t>QTO020424-2</t>
        </is>
      </c>
      <c r="C33" s="4" t="inlineStr">
        <is>
          <t>02/04/2024</t>
        </is>
      </c>
      <c r="D33" s="4" t="inlineStr">
        <is>
          <t>MICSA Compra</t>
        </is>
      </c>
      <c r="E33" s="4" t="inlineStr">
        <is>
          <t>ForkFlock Lift Truck Services</t>
        </is>
      </c>
      <c r="F33" s="4" t="inlineStr">
        <is>
          <t>Renta montacargas Toyota 7FGU45 10,000 lbs (diaria)</t>
        </is>
      </c>
      <c r="G33" s="5" t="n">
        <v>2700</v>
      </c>
      <c r="H33" s="4" t="inlineStr">
        <is>
          <t>MXN/día</t>
        </is>
      </c>
      <c r="I33" s="4" t="inlineStr">
        <is>
          <t>Renta diaria: $2,700 | Traslado: $7,000 | 15 días = $40,500 + $7,000 = $47,500 + IVA = $55,100</t>
        </is>
      </c>
      <c r="J33" s="4" t="inlineStr">
        <is>
          <t>Alfonso Herrera Castillo</t>
        </is>
      </c>
      <c r="K33" s="4" t="inlineStr">
        <is>
          <t>(55) 5331 0025 / 442 798 2185</t>
        </is>
      </c>
      <c r="L33" s="4" t="inlineStr">
        <is>
          <t>aherrera@forkflock.com</t>
        </is>
      </c>
      <c r="M33" s="4" t="inlineStr">
        <is>
          <t>Clemencia Borja Taboada 550, Juriquilla, Querétaro</t>
        </is>
      </c>
    </row>
    <row r="34">
      <c r="A34" s="4" t="inlineStr">
        <is>
          <t>cotx+</t>
        </is>
      </c>
      <c r="B34" s="4" t="inlineStr">
        <is>
          <t>MEI-30042021</t>
        </is>
      </c>
      <c r="C34" s="4" t="inlineStr">
        <is>
          <t>30/04/2021</t>
        </is>
      </c>
      <c r="D34" s="4" t="inlineStr">
        <is>
          <t>MICSA Compra</t>
        </is>
      </c>
      <c r="E34" s="4" t="inlineStr">
        <is>
          <t>CIASA Contractors</t>
        </is>
      </c>
      <c r="F34" s="4" t="inlineStr">
        <is>
          <t>Renta de Gantry 400 Ton</t>
        </is>
      </c>
      <c r="G34" s="5" t="n">
        <v>3300</v>
      </c>
      <c r="H34" s="4" t="inlineStr">
        <is>
          <t>USD/día</t>
        </is>
      </c>
      <c r="I34" s="4" t="inlineStr">
        <is>
          <t>Día: $3,300 USD | Semana: $14,220 USD | Mes: $54,000 USD | Traslado MTY-Silao: $5,500 USD | Incluye operador y maniobrista</t>
        </is>
      </c>
      <c r="J34" s="4" t="inlineStr">
        <is>
          <t>Enrique Vázquez</t>
        </is>
      </c>
      <c r="K34" s="4" t="inlineStr">
        <is>
          <t>(81) 8327 2111</t>
        </is>
      </c>
      <c r="L34" s="4" t="inlineStr">
        <is>
          <t>evazquez@ciasacontractors.com</t>
        </is>
      </c>
      <c r="M34" s="4" t="inlineStr">
        <is>
          <t>Camino Apodaca-Huinalá #431, Apodaca, NL CP 66643</t>
        </is>
      </c>
    </row>
    <row r="35">
      <c r="A35" s="4" t="inlineStr">
        <is>
          <t>cotx+</t>
        </is>
      </c>
      <c r="B35" s="4" t="inlineStr">
        <is>
          <t>GYMBSA-043</t>
        </is>
      </c>
      <c r="C35" s="4" t="inlineStr">
        <is>
          <t>30/04/2021</t>
        </is>
      </c>
      <c r="D35" s="4" t="inlineStr">
        <is>
          <t>MICSA Compra</t>
        </is>
      </c>
      <c r="E35" s="4" t="inlineStr">
        <is>
          <t>Grúas y Maniobras del Bajío (GYMBSA)</t>
        </is>
      </c>
      <c r="F35" s="4" t="inlineStr">
        <is>
          <t>Renta de Gantry 500 Ton</t>
        </is>
      </c>
      <c r="G35" s="5" t="n">
        <v>9600</v>
      </c>
      <c r="H35" s="4" t="inlineStr">
        <is>
          <t>USD/día</t>
        </is>
      </c>
      <c r="I35" s="4" t="inlineStr">
        <is>
          <t>Día: $9,600 USD | Semana: $20,120 USD | Mes: $48,940 USD | Incluye flete, operadores, equipo armado</t>
        </is>
      </c>
      <c r="J35" s="4" t="inlineStr">
        <is>
          <t>GYMBSA</t>
        </is>
      </c>
      <c r="K35" s="4" t="inlineStr">
        <is>
          <t>442 225 3130</t>
        </is>
      </c>
      <c r="L35" s="4" t="inlineStr"/>
      <c r="M35" s="4" t="inlineStr">
        <is>
          <t>Autopista México-Querétaro Km 196.2, La Piedad, El Marqués, Querétaro</t>
        </is>
      </c>
    </row>
    <row r="36">
      <c r="A36" s="4" t="inlineStr">
        <is>
          <t>cotx+</t>
        </is>
      </c>
      <c r="B36" s="4" t="inlineStr">
        <is>
          <t>15939</t>
        </is>
      </c>
      <c r="C36" s="4" t="inlineStr">
        <is>
          <t>01/09/2025</t>
        </is>
      </c>
      <c r="D36" s="4" t="inlineStr">
        <is>
          <t>MICSA Compra</t>
        </is>
      </c>
      <c r="E36" s="4" t="inlineStr">
        <is>
          <t>Montacargas Acuña</t>
        </is>
      </c>
      <c r="F36" s="4" t="inlineStr">
        <is>
          <t>Renta montacargas 7 Ton + Plataforma Tijera + Articulada (mensual)</t>
        </is>
      </c>
      <c r="G36" s="5" t="n">
        <v>109800</v>
      </c>
      <c r="H36" s="4" t="inlineStr">
        <is>
          <t>MXN + IVA</t>
        </is>
      </c>
      <c r="I36" s="4" t="inlineStr">
        <is>
          <t>Montacargas 7T: $50,000/mes + $10,000 traslado | Plataforma Tijera 32 pies: $19,800/mes + $10,000 traslado | Plataforma Z33: $10,000/mes + $10,000 traslado | Total: $127,368 con IVA</t>
        </is>
      </c>
      <c r="J36" s="4" t="inlineStr">
        <is>
          <t>Andrea Galindo</t>
        </is>
      </c>
      <c r="K36" s="4" t="inlineStr">
        <is>
          <t>222 888 1156 / 222 888 1393</t>
        </is>
      </c>
      <c r="L36" s="4" t="inlineStr"/>
      <c r="M36" s="4" t="inlineStr">
        <is>
          <t>Calle Derby No. 84, Cuautlancingo, Puebla</t>
        </is>
      </c>
    </row>
    <row r="37">
      <c r="A37" s="4" t="inlineStr">
        <is>
          <t>cotx+</t>
        </is>
      </c>
      <c r="B37" s="4" t="inlineStr">
        <is>
          <t>RSM #101118</t>
        </is>
      </c>
      <c r="C37" s="4" t="inlineStr">
        <is>
          <t>26/02/2026</t>
        </is>
      </c>
      <c r="D37" s="4" t="inlineStr">
        <is>
          <t>MICSA Compra</t>
        </is>
      </c>
      <c r="E37" s="4" t="inlineStr">
        <is>
          <t>RSM (Rigging Services México)</t>
        </is>
      </c>
      <c r="F37" s="4" t="inlineStr">
        <is>
          <t>Alineación y pre-nivelación de 5 máquinas (FORZA STEEL)</t>
        </is>
      </c>
      <c r="G37" s="5" t="n">
        <v>14250</v>
      </c>
      <c r="H37" s="4" t="inlineStr">
        <is>
          <t>USD + IVA</t>
        </is>
      </c>
      <c r="I37" s="4" t="inlineStr">
        <is>
          <t>5 máquinas línea enderezadora | 8 jornadas laborales | Seguro RC $3M USD | Seguro montaje hasta $50K USD</t>
        </is>
      </c>
      <c r="J37" s="4" t="inlineStr">
        <is>
          <t>RSM</t>
        </is>
      </c>
      <c r="K37" s="4" t="inlineStr"/>
      <c r="L37" s="4" t="inlineStr"/>
      <c r="M37" s="4" t="inlineStr">
        <is>
          <t>Monterrey, Nuevo León (servicio en Salinas Victoria, NL)</t>
        </is>
      </c>
    </row>
    <row r="38">
      <c r="A38" s="4" t="inlineStr">
        <is>
          <t>cotx+</t>
        </is>
      </c>
      <c r="B38" s="4" t="inlineStr">
        <is>
          <t>Novasi 260208</t>
        </is>
      </c>
      <c r="C38" s="4" t="inlineStr">
        <is>
          <t>07/02/2026</t>
        </is>
      </c>
      <c r="D38" s="4" t="inlineStr">
        <is>
          <t>MICSA Compra</t>
        </is>
      </c>
      <c r="E38" s="4" t="inlineStr">
        <is>
          <t>Novasi</t>
        </is>
      </c>
      <c r="F38" s="4" t="inlineStr">
        <is>
          <t>Arrendamiento de montacargas 4080 para Carrier</t>
        </is>
      </c>
      <c r="G38" s="5" t="n">
        <v>234000</v>
      </c>
      <c r="H38" s="4" t="inlineStr">
        <is>
          <t>MXN + IVA</t>
        </is>
      </c>
      <c r="I38" s="4" t="inlineStr">
        <is>
          <t>Unitario: $45,000 (1 und) + $189,000 (1 und) | Subtotal: $234,000</t>
        </is>
      </c>
      <c r="J38" s="4" t="inlineStr">
        <is>
          <t>Ing. Joel R. González</t>
        </is>
      </c>
      <c r="K38" s="4" t="inlineStr"/>
      <c r="L38" s="4" t="inlineStr">
        <is>
          <t>proyectos@micsadelcentro.com</t>
        </is>
      </c>
      <c r="M38" s="4" t="inlineStr">
        <is>
          <t>Santa Catarina, Nuevo León</t>
        </is>
      </c>
    </row>
    <row r="39">
      <c r="A39" s="4" t="inlineStr">
        <is>
          <t>cotx+</t>
        </is>
      </c>
      <c r="B39" s="4" t="inlineStr">
        <is>
          <t>COT 1911</t>
        </is>
      </c>
      <c r="C39" s="4" t="inlineStr">
        <is>
          <t>16/07/2025</t>
        </is>
      </c>
      <c r="D39" s="4" t="inlineStr">
        <is>
          <t>MICSA Compra</t>
        </is>
      </c>
      <c r="E39" s="4" t="inlineStr">
        <is>
          <t>Proveedor montacargas (NRD 000032)</t>
        </is>
      </c>
      <c r="F39" s="4" t="inlineStr">
        <is>
          <t>Renta de montacargas día/mes + traslado</t>
        </is>
      </c>
      <c r="G39" s="5" t="n">
        <v>37700</v>
      </c>
      <c r="H39" s="4" t="inlineStr">
        <is>
          <t>MXN (IVA incluido)</t>
        </is>
      </c>
      <c r="I39" s="4" t="inlineStr">
        <is>
          <t>Renta por día: $1,500 | Renta por mes: $20,000 | Traslado redondo: $11,000 | Subtotal: $32,500 + IVA = $37,700</t>
        </is>
      </c>
      <c r="J39" s="4" t="inlineStr"/>
      <c r="K39" s="4" t="inlineStr"/>
      <c r="L39" s="4" t="inlineStr"/>
      <c r="M39" s="4" t="inlineStr"/>
    </row>
    <row r="40">
      <c r="A40" s="4" t="inlineStr">
        <is>
          <t>cotx+</t>
        </is>
      </c>
      <c r="B40" s="4" t="inlineStr">
        <is>
          <t>GMX 192391</t>
        </is>
      </c>
      <c r="C40" s="4" t="inlineStr">
        <is>
          <t>19/09/2025</t>
        </is>
      </c>
      <c r="D40" s="4" t="inlineStr">
        <is>
          <t>MICSA Compra</t>
        </is>
      </c>
      <c r="E40" s="4" t="inlineStr">
        <is>
          <t>GMX Seguros (Grupo Mexicano de Seguros)</t>
        </is>
      </c>
      <c r="F40" s="4" t="inlineStr">
        <is>
          <t>Seguro de Responsabilidad Civil (USD)</t>
        </is>
      </c>
      <c r="G40" s="5" t="n">
        <v>1500.2</v>
      </c>
      <c r="H40" s="4" t="inlineStr">
        <is>
          <t>USD</t>
        </is>
      </c>
      <c r="I40" s="4" t="inlineStr">
        <is>
          <t>Límite: $5,000,000 USD | Coberturas: RC contaminación, actividades, contratistas, vehículos, empleados, defensa | Prima MN: $27,545.17</t>
        </is>
      </c>
      <c r="J40" s="4" t="inlineStr">
        <is>
          <t>Catalina Aguilar Acosta (agente)</t>
        </is>
      </c>
      <c r="K40" s="4" t="inlineStr"/>
      <c r="L40" s="4" t="inlineStr"/>
      <c r="M40" s="4" t="inlineStr"/>
    </row>
    <row r="41">
      <c r="A41" s="4" t="inlineStr">
        <is>
          <t>cotx+</t>
        </is>
      </c>
      <c r="B41" s="4" t="inlineStr">
        <is>
          <t>GMX 204698</t>
        </is>
      </c>
      <c r="C41" s="4" t="inlineStr">
        <is>
          <t>06/01/2026</t>
        </is>
      </c>
      <c r="D41" s="4" t="inlineStr">
        <is>
          <t>MICSA Compra</t>
        </is>
      </c>
      <c r="E41" s="4" t="inlineStr">
        <is>
          <t>GMX Seguros (Grupo Mexicano de Seguros)</t>
        </is>
      </c>
      <c r="F41" s="4" t="inlineStr">
        <is>
          <t>Seguro de Responsabilidad Civil (MXN)</t>
        </is>
      </c>
      <c r="G41" s="5" t="n">
        <v>9668.690000000001</v>
      </c>
      <c r="H41" s="4" t="inlineStr">
        <is>
          <t>MXN</t>
        </is>
      </c>
      <c r="I41" s="4" t="inlineStr">
        <is>
          <t>Límite: $5,000,000 MXN | Coberturas: RC contaminación, actividades, contratistas, vehículos, empleados, defensa</t>
        </is>
      </c>
      <c r="J41" s="4" t="inlineStr">
        <is>
          <t>Juan Arturo Cabrera Barrón (agente)</t>
        </is>
      </c>
      <c r="K41" s="4" t="inlineStr"/>
      <c r="L41" s="4" t="inlineStr"/>
      <c r="M41" s="4" t="inlineStr"/>
    </row>
    <row r="42">
      <c r="A42" s="4" t="inlineStr">
        <is>
          <t>Raíz</t>
        </is>
      </c>
      <c r="B42" s="4" t="inlineStr">
        <is>
          <t>Arrend. 3T</t>
        </is>
      </c>
      <c r="C42" s="4" t="inlineStr"/>
      <c r="D42" s="4" t="inlineStr">
        <is>
          <t>MICSA Compra</t>
        </is>
      </c>
      <c r="E42" s="4" t="inlineStr">
        <is>
          <t>Proveedor arrendamiento</t>
        </is>
      </c>
      <c r="F42" s="4" t="inlineStr">
        <is>
          <t>Arrendamiento puro montacargas 3 Ton gas LP (48 meses)</t>
        </is>
      </c>
      <c r="G42" s="5" t="n">
        <v>618226.7</v>
      </c>
      <c r="H42" s="4" t="inlineStr">
        <is>
          <t>MXN (IVA incl total)</t>
        </is>
      </c>
      <c r="I42" s="4" t="inlineStr">
        <is>
          <t>Renta mensual: $15,991.41 + IVA | Localizador: $350/mes | Plazo: 48 meses</t>
        </is>
      </c>
      <c r="J42" s="4" t="inlineStr"/>
      <c r="K42" s="4" t="inlineStr"/>
      <c r="L42" s="4" t="inlineStr"/>
      <c r="M42" s="4" t="inlineStr"/>
    </row>
    <row r="43">
      <c r="A43" s="4" t="inlineStr">
        <is>
          <t>Raíz</t>
        </is>
      </c>
      <c r="B43" s="4" t="inlineStr">
        <is>
          <t>Arrend. 5T</t>
        </is>
      </c>
      <c r="C43" s="4" t="inlineStr"/>
      <c r="D43" s="4" t="inlineStr">
        <is>
          <t>MICSA Compra</t>
        </is>
      </c>
      <c r="E43" s="4" t="inlineStr">
        <is>
          <t>Proveedor arrendamiento</t>
        </is>
      </c>
      <c r="F43" s="4" t="inlineStr">
        <is>
          <t>Arrendamiento puro montacargas 5 Ton diesel (48 meses)</t>
        </is>
      </c>
      <c r="G43" s="5" t="n">
        <v>1231589.63</v>
      </c>
      <c r="H43" s="4" t="inlineStr">
        <is>
          <t>MXN (IVA incl total)</t>
        </is>
      </c>
      <c r="I43" s="4" t="inlineStr">
        <is>
          <t>Renta mensual: $33,994.59 + IVA | Localizador: $350/mes | Plazo: 48 meses</t>
        </is>
      </c>
      <c r="J43" s="4" t="inlineStr"/>
      <c r="K43" s="4" t="inlineStr"/>
      <c r="L43" s="4" t="inlineStr"/>
      <c r="M43" s="4" t="inlineStr"/>
    </row>
    <row r="44">
      <c r="A44" s="4" t="inlineStr">
        <is>
          <t>Raíz</t>
        </is>
      </c>
      <c r="B44" s="4" t="inlineStr">
        <is>
          <t>Arrend. 7T</t>
        </is>
      </c>
      <c r="C44" s="4" t="inlineStr"/>
      <c r="D44" s="4" t="inlineStr">
        <is>
          <t>MICSA Compra</t>
        </is>
      </c>
      <c r="E44" s="4" t="inlineStr">
        <is>
          <t>Proveedor arrendamiento</t>
        </is>
      </c>
      <c r="F44" s="4" t="inlineStr">
        <is>
          <t>Arrendamiento puro montacargas 7 Ton gas LP (48 meses)</t>
        </is>
      </c>
      <c r="G44" s="5" t="n">
        <v>1385940.13</v>
      </c>
      <c r="H44" s="4" t="inlineStr">
        <is>
          <t>MXN (IVA incl total)</t>
        </is>
      </c>
      <c r="I44" s="4" t="inlineStr">
        <is>
          <t>Renta mensual: $38,211.14 + IVA | Localizador: $350/mes | Plazo: 48 meses</t>
        </is>
      </c>
      <c r="J44" s="4" t="inlineStr"/>
      <c r="K44" s="4" t="inlineStr"/>
      <c r="L44" s="4" t="inlineStr"/>
      <c r="M44" s="4" t="inlineStr"/>
    </row>
    <row r="45">
      <c r="A45" s="4" t="inlineStr">
        <is>
          <t>Raíz</t>
        </is>
      </c>
      <c r="B45" s="4" t="inlineStr">
        <is>
          <t>Renta Rigging</t>
        </is>
      </c>
      <c r="C45" s="4" t="inlineStr"/>
      <c r="D45" s="4" t="inlineStr">
        <is>
          <t>MICSA Compra</t>
        </is>
      </c>
      <c r="E45" s="4" t="inlineStr">
        <is>
          <t>Rigging Industry</t>
        </is>
      </c>
      <c r="F45" s="4" t="inlineStr">
        <is>
          <t>Renta montacargas 10,000 lbs (semanal) para Carrier Planta E</t>
        </is>
      </c>
      <c r="G45" s="5" t="n">
        <v>25000</v>
      </c>
      <c r="H45" s="4" t="inlineStr">
        <is>
          <t>MXN + IVA</t>
        </is>
      </c>
      <c r="I45" s="4" t="inlineStr">
        <is>
          <t>Renta semanal: $25,000 | Pago 100% anticipado</t>
        </is>
      </c>
      <c r="J45" s="4" t="inlineStr">
        <is>
          <t>Ing. Ángel Aurelio Juárez Velázquez</t>
        </is>
      </c>
      <c r="K45" s="4" t="inlineStr">
        <is>
          <t>813 113 0556</t>
        </is>
      </c>
      <c r="L45" s="4" t="inlineStr">
        <is>
          <t>Rigging.industry1@gmail.com</t>
        </is>
      </c>
      <c r="M45" s="4" t="inlineStr">
        <is>
          <t>Río Conchos 111, Apodaca, NL CP 66646</t>
        </is>
      </c>
    </row>
    <row r="46">
      <c r="A46" s="4" t="inlineStr">
        <is>
          <t>Raíz</t>
        </is>
      </c>
      <c r="B46" s="4" t="inlineStr">
        <is>
          <t>MI24-P051</t>
        </is>
      </c>
      <c r="C46" s="4" t="inlineStr">
        <is>
          <t>12/02/2024</t>
        </is>
      </c>
      <c r="D46" s="4" t="inlineStr">
        <is>
          <t>MICSA Compra</t>
        </is>
      </c>
      <c r="E46" s="4" t="inlineStr">
        <is>
          <t>Maverick Importaciones</t>
        </is>
      </c>
      <c r="F46" s="4" t="inlineStr">
        <is>
          <t>Renta montacargas JAC 3.5 Dual (semanal) para APTIV</t>
        </is>
      </c>
      <c r="G46" s="4" t="n">
        <v>0</v>
      </c>
      <c r="H46" s="4" t="inlineStr">
        <is>
          <t>MXN</t>
        </is>
      </c>
      <c r="I46" s="4" t="inlineStr">
        <is>
          <t>Renta semanal montacargas 3.5 Ton dual</t>
        </is>
      </c>
      <c r="J46" s="4" t="inlineStr">
        <is>
          <t>Rodolfo Flores</t>
        </is>
      </c>
      <c r="K46" s="4" t="inlineStr"/>
      <c r="L46" s="4" t="inlineStr"/>
      <c r="M46" s="4" t="inlineStr">
        <is>
          <t>Ignacio Zaragoza 659, Centro, CP 26700 (Frontera, Coahuila)</t>
        </is>
      </c>
    </row>
    <row r="47">
      <c r="A47" s="4" t="inlineStr">
        <is>
          <t>Raíz</t>
        </is>
      </c>
      <c r="B47" s="4" t="inlineStr">
        <is>
          <t>Flexo A774</t>
        </is>
      </c>
      <c r="C47" s="4" t="inlineStr">
        <is>
          <t>28/08/2025</t>
        </is>
      </c>
      <c r="D47" s="4" t="inlineStr">
        <is>
          <t>MICSA Compra</t>
        </is>
      </c>
      <c r="E47" s="4" t="inlineStr">
        <is>
          <t>Flexo Grúas</t>
        </is>
      </c>
      <c r="F47" s="4" t="inlineStr">
        <is>
          <t>Servicio de grúas (factura)</t>
        </is>
      </c>
      <c r="G47" s="4" t="n">
        <v>0</v>
      </c>
      <c r="H47" s="4" t="inlineStr">
        <is>
          <t>MXN</t>
        </is>
      </c>
      <c r="I47" s="4" t="inlineStr">
        <is>
          <t>Factura FGR210826767 | Régimen: Coordinados</t>
        </is>
      </c>
      <c r="J47" s="4" t="inlineStr">
        <is>
          <t>Flexo Grúas</t>
        </is>
      </c>
      <c r="K47" s="4" t="inlineStr">
        <is>
          <t>551 368 6460</t>
        </is>
      </c>
      <c r="L47" s="4" t="inlineStr">
        <is>
          <t>facturas@flexogruas.mx</t>
        </is>
      </c>
      <c r="M47" s="4" t="inlineStr">
        <is>
          <t>Arco Iris Mz 10 Lt 19B, Valle de Luces, Iztapalapa, CDMX</t>
        </is>
      </c>
    </row>
    <row r="48">
      <c r="A48" s="4" t="inlineStr">
        <is>
          <t>cotx+</t>
        </is>
      </c>
      <c r="B48" s="4" t="inlineStr">
        <is>
          <t>Grúas García</t>
        </is>
      </c>
      <c r="C48" s="4" t="inlineStr"/>
      <c r="D48" s="4" t="inlineStr">
        <is>
          <t>MICSA Compra</t>
        </is>
      </c>
      <c r="E48" s="4" t="inlineStr">
        <is>
          <t>Grúas García</t>
        </is>
      </c>
      <c r="F48" s="4" t="inlineStr">
        <is>
          <t>Grúa hidráulica 40 toneladas (× 2 unidades)</t>
        </is>
      </c>
      <c r="G48" s="5" t="n">
        <v>80306</v>
      </c>
      <c r="H48" s="4" t="inlineStr">
        <is>
          <t>MXN (IVA incl + 15% GA)</t>
        </is>
      </c>
      <c r="I48" s="4" t="inlineStr">
        <is>
          <t>Traslado: $12,500 × 2 | Servicio 8hrs: $17,600 × 2 | Total c/IVA: $34,916 × 2 | + 15% gastos admin = $80,306</t>
        </is>
      </c>
      <c r="J48" s="4" t="inlineStr"/>
      <c r="K48" s="4" t="inlineStr"/>
      <c r="L48" s="4" t="inlineStr"/>
      <c r="M48" s="4" t="inlineStr"/>
    </row>
    <row r="49">
      <c r="A49" s="4" t="inlineStr">
        <is>
          <t>cotx+</t>
        </is>
      </c>
      <c r="B49" s="4" t="inlineStr">
        <is>
          <t>INEQSA</t>
        </is>
      </c>
      <c r="C49" s="4" t="inlineStr"/>
      <c r="D49" s="4" t="inlineStr">
        <is>
          <t>MICSA Compra</t>
        </is>
      </c>
      <c r="E49" s="4" t="inlineStr">
        <is>
          <t>INEQSA (Industrial Equipment SA de CV)</t>
        </is>
      </c>
      <c r="F49" s="4" t="inlineStr">
        <is>
          <t>Catálogo de renta/venta montacargas y manejo de materiales</t>
        </is>
      </c>
      <c r="G49" s="4" t="n">
        <v>0</v>
      </c>
      <c r="H49" s="4" t="inlineStr">
        <is>
          <t>MXN</t>
        </is>
      </c>
      <c r="I49" s="4" t="inlineStr">
        <is>
          <t>Catálogo de equipos - soluciones manejo de materiales</t>
        </is>
      </c>
      <c r="J49" s="4" t="inlineStr">
        <is>
          <t>INEQSA</t>
        </is>
      </c>
      <c r="K49" s="4" t="inlineStr"/>
      <c r="L49" s="4" t="inlineStr"/>
      <c r="M49" s="4" t="inlineStr">
        <is>
          <t>Monclova y Saltillo, Coahuila</t>
        </is>
      </c>
    </row>
    <row r="50">
      <c r="A50" s="4" t="inlineStr">
        <is>
          <t>Raíz</t>
        </is>
      </c>
      <c r="B50" s="4" t="inlineStr">
        <is>
          <t>Merklift 1359</t>
        </is>
      </c>
      <c r="C50" s="4" t="inlineStr">
        <is>
          <t>17/12/2025</t>
        </is>
      </c>
      <c r="D50" s="4" t="inlineStr">
        <is>
          <t>MICSA Compra</t>
        </is>
      </c>
      <c r="E50" s="4" t="inlineStr">
        <is>
          <t>Merklift</t>
        </is>
      </c>
      <c r="F50" s="4" t="inlineStr">
        <is>
          <t>Renta montacargas (mensual)</t>
        </is>
      </c>
      <c r="G50" s="4" t="n">
        <v>0</v>
      </c>
      <c r="H50" s="4" t="inlineStr">
        <is>
          <t>MXN</t>
        </is>
      </c>
      <c r="I50" s="4" t="inlineStr">
        <is>
          <t>Renta mensual - ver detalle en PDF</t>
        </is>
      </c>
      <c r="J50" s="4" t="inlineStr">
        <is>
          <t>Ing. Daniel Valenciano</t>
        </is>
      </c>
      <c r="K50" s="4" t="inlineStr">
        <is>
          <t>488 14 5817</t>
        </is>
      </c>
      <c r="L50" s="4" t="inlineStr"/>
      <c r="M50" s="4" t="inlineStr">
        <is>
          <t>Calzada del Ejército 1421, Quinta Velarde, Guadalajara, Jalisco CP 44430</t>
        </is>
      </c>
    </row>
    <row r="51">
      <c r="A51" s="4" t="inlineStr">
        <is>
          <t>Raíz</t>
        </is>
      </c>
      <c r="B51" s="4" t="inlineStr">
        <is>
          <t>Merklift 1360</t>
        </is>
      </c>
      <c r="C51" s="4" t="inlineStr">
        <is>
          <t>17/12/2025</t>
        </is>
      </c>
      <c r="D51" s="4" t="inlineStr">
        <is>
          <t>MICSA Compra</t>
        </is>
      </c>
      <c r="E51" s="4" t="inlineStr">
        <is>
          <t>Merklift</t>
        </is>
      </c>
      <c r="F51" s="4" t="inlineStr">
        <is>
          <t>Renta montacargas (semanal)</t>
        </is>
      </c>
      <c r="G51" s="4" t="n">
        <v>0</v>
      </c>
      <c r="H51" s="4" t="inlineStr">
        <is>
          <t>MXN</t>
        </is>
      </c>
      <c r="I51" s="4" t="inlineStr">
        <is>
          <t>Renta semanal - ver detalle en PDF</t>
        </is>
      </c>
      <c r="J51" s="4" t="inlineStr">
        <is>
          <t>Ing. Daniel Valenciano</t>
        </is>
      </c>
      <c r="K51" s="4" t="inlineStr">
        <is>
          <t>488 14 5817</t>
        </is>
      </c>
      <c r="L51" s="4" t="inlineStr"/>
      <c r="M51" s="4" t="inlineStr">
        <is>
          <t>Calzada del Ejército 1421, Quinta Velarde, Guadalajara, Jalisco CP 44430</t>
        </is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RESUMEN BASE DE DATOS COTIZACIONES - GRUPO MICSA</t>
        </is>
      </c>
    </row>
    <row r="3">
      <c r="A3" s="7" t="inlineStr">
        <is>
          <t>Total de registros:</t>
        </is>
      </c>
      <c r="B3" s="8" t="n">
        <v>50</v>
      </c>
    </row>
    <row r="4">
      <c r="A4" s="7" t="inlineStr">
        <is>
          <t>Cotizaciones MICSA Vende:</t>
        </is>
      </c>
      <c r="B4" s="8">
        <f>COUNTIF('Base de Datos Cotizaciones'!D:D,"MICSA Vende")</f>
        <v/>
      </c>
    </row>
    <row r="5">
      <c r="A5" s="7" t="inlineStr">
        <is>
          <t>Cotizaciones MICSA Compra:</t>
        </is>
      </c>
      <c r="B5" s="8">
        <f>COUNTIF('Base de Datos Cotizaciones'!D:D,"MICSA Compra")</f>
        <v/>
      </c>
    </row>
    <row r="6">
      <c r="A6" s="7" t="n"/>
      <c r="B6" s="8" t="n"/>
    </row>
    <row r="7">
      <c r="A7" s="7" t="inlineStr">
        <is>
          <t>Leyenda de colores:</t>
        </is>
      </c>
      <c r="B7" s="8" t="n"/>
    </row>
    <row r="8">
      <c r="A8" s="9" t="inlineStr">
        <is>
          <t>Verde = MICSA Vende (cotiza a clientes)</t>
        </is>
      </c>
      <c r="B8" s="8" t="n"/>
    </row>
    <row r="9">
      <c r="A9" s="10" t="inlineStr">
        <is>
          <t>Naranja = MICSA Compra (proveedor cotiza a MICSA)</t>
        </is>
      </c>
      <c r="B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2026-03-15T17:58:29Z</dcterms:created>
  <dcterms:modified xmlns:dcterms="http://purl.org/dc/terms/" xmlns:xsi="http://www.w3.org/2001/XMLSchema-instance" xsi:type="dcterms:W3CDTF">2026-03-15T17:58:29Z</dcterms:modified>
</cp:coreProperties>
</file>